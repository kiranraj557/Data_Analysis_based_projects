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ython vscode\git\Learning_Excel\"/>
    </mc:Choice>
  </mc:AlternateContent>
  <xr:revisionPtr revIDLastSave="0" documentId="13_ncr:1_{F9995056-BA07-42B4-AB91-9988A1B3DD6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xcel1" sheetId="1" r:id="rId1"/>
    <sheet name="exce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5" i="1"/>
  <c r="J6" i="1"/>
  <c r="J7" i="1"/>
  <c r="J8" i="1"/>
  <c r="J9" i="1"/>
  <c r="J10" i="1"/>
  <c r="I10" i="1"/>
  <c r="I6" i="1"/>
  <c r="I7" i="1"/>
  <c r="I8" i="1"/>
  <c r="I9" i="1"/>
  <c r="I5" i="1"/>
  <c r="H10" i="1"/>
  <c r="H6" i="1"/>
  <c r="H7" i="1"/>
  <c r="H8" i="1"/>
  <c r="H9" i="1"/>
  <c r="H5" i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4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5" i="2"/>
  <c r="P6" i="2"/>
  <c r="P7" i="2"/>
  <c r="P8" i="2"/>
  <c r="P9" i="2"/>
  <c r="P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4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N17" i="2"/>
  <c r="N18" i="2"/>
  <c r="N19" i="2"/>
  <c r="N20" i="2"/>
  <c r="N21" i="2"/>
  <c r="N22" i="2"/>
  <c r="N23" i="2"/>
  <c r="N5" i="2"/>
  <c r="N6" i="2"/>
  <c r="N7" i="2"/>
  <c r="N8" i="2"/>
  <c r="N9" i="2"/>
  <c r="N10" i="2"/>
  <c r="N11" i="2"/>
  <c r="N12" i="2"/>
  <c r="N13" i="2"/>
  <c r="N14" i="2"/>
  <c r="N15" i="2"/>
  <c r="N16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4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5" i="2"/>
  <c r="L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4" i="2"/>
  <c r="H13" i="2"/>
  <c r="H5" i="2"/>
  <c r="H6" i="2"/>
  <c r="H7" i="2"/>
  <c r="H8" i="2"/>
  <c r="H9" i="2"/>
  <c r="H10" i="2"/>
  <c r="H11" i="2"/>
  <c r="H12" i="2"/>
  <c r="H14" i="2"/>
  <c r="H15" i="2"/>
  <c r="H16" i="2"/>
  <c r="H17" i="2"/>
  <c r="H18" i="2"/>
  <c r="H19" i="2"/>
  <c r="H20" i="2"/>
  <c r="H21" i="2"/>
  <c r="H22" i="2"/>
  <c r="H23" i="2"/>
  <c r="H4" i="2"/>
</calcChain>
</file>

<file path=xl/sharedStrings.xml><?xml version="1.0" encoding="utf-8"?>
<sst xmlns="http://schemas.openxmlformats.org/spreadsheetml/2006/main" count="167" uniqueCount="109">
  <si>
    <t>1. Excel Fundamentals</t>
  </si>
  <si>
    <t>Date</t>
  </si>
  <si>
    <t>Category</t>
  </si>
  <si>
    <t>Sub-Category</t>
  </si>
  <si>
    <t>Price</t>
  </si>
  <si>
    <t>Payment Method</t>
  </si>
  <si>
    <t>Food</t>
  </si>
  <si>
    <t>Groceries</t>
  </si>
  <si>
    <t>UPI</t>
  </si>
  <si>
    <t>Transport</t>
  </si>
  <si>
    <t>Fuel</t>
  </si>
  <si>
    <t>Credit Card</t>
  </si>
  <si>
    <t>Entertainment</t>
  </si>
  <si>
    <t>Movie</t>
  </si>
  <si>
    <t>Cash</t>
  </si>
  <si>
    <t>Utilities</t>
  </si>
  <si>
    <t>Electricity Bill</t>
  </si>
  <si>
    <t>Net Banking</t>
  </si>
  <si>
    <t>Restaurant</t>
  </si>
  <si>
    <t>Shopping</t>
  </si>
  <si>
    <t>Clothing</t>
  </si>
  <si>
    <t>Health</t>
  </si>
  <si>
    <t>Pharmacy</t>
  </si>
  <si>
    <t>Cab</t>
  </si>
  <si>
    <t>Debit Card</t>
  </si>
  <si>
    <t>Streaming Subscription</t>
  </si>
  <si>
    <t>Internet Bill</t>
  </si>
  <si>
    <t>Electronics</t>
  </si>
  <si>
    <t>Doctor Visit</t>
  </si>
  <si>
    <t>Train Ticket</t>
  </si>
  <si>
    <t>Books</t>
  </si>
  <si>
    <t>Water Bill</t>
  </si>
  <si>
    <t>Concert</t>
  </si>
  <si>
    <t>Home Decor</t>
  </si>
  <si>
    <t>Country</t>
  </si>
  <si>
    <t>Cartoon Show Name</t>
  </si>
  <si>
    <t>Full Name of Cartoon Character</t>
  </si>
  <si>
    <t>USA</t>
  </si>
  <si>
    <t>The Simpsons</t>
  </si>
  <si>
    <t>Homer Jay Simpson</t>
  </si>
  <si>
    <t>SpongeBob SquarePants</t>
  </si>
  <si>
    <t>Japan</t>
  </si>
  <si>
    <t>Doraemon</t>
  </si>
  <si>
    <t>Naruto</t>
  </si>
  <si>
    <t>Naruto Uzumaki</t>
  </si>
  <si>
    <t>India</t>
  </si>
  <si>
    <t>Chhota Bheem</t>
  </si>
  <si>
    <t>Bheem</t>
  </si>
  <si>
    <t>Motu Patlu</t>
  </si>
  <si>
    <t>Motu</t>
  </si>
  <si>
    <t>UK</t>
  </si>
  <si>
    <t>Peppa Pig</t>
  </si>
  <si>
    <t>Thomas &amp; Friends</t>
  </si>
  <si>
    <t>Thomas the Tank Engine</t>
  </si>
  <si>
    <t>Canada</t>
  </si>
  <si>
    <t>Total Drama Island</t>
  </si>
  <si>
    <t>Owen</t>
  </si>
  <si>
    <t>France</t>
  </si>
  <si>
    <t>Miraculous: Tales of Ladybug &amp; Cat Noir</t>
  </si>
  <si>
    <t>Marinette Dupain-Cheng</t>
  </si>
  <si>
    <t>Pokémon</t>
  </si>
  <si>
    <t>Ash Ketchum</t>
  </si>
  <si>
    <t>Looney Tunes</t>
  </si>
  <si>
    <t>Bugs Bunny</t>
  </si>
  <si>
    <t>Tom and Jerry</t>
  </si>
  <si>
    <t>Thomas Jasper "Tom" Cat</t>
  </si>
  <si>
    <t>Scooby-Doo, Where Are You!</t>
  </si>
  <si>
    <t>Scoobert "Scooby" Doo</t>
  </si>
  <si>
    <t>Dragon Ball Z</t>
  </si>
  <si>
    <t>Son Goku</t>
  </si>
  <si>
    <t>Little Singham</t>
  </si>
  <si>
    <t>Singham</t>
  </si>
  <si>
    <t>Shaun the Sheep</t>
  </si>
  <si>
    <t>Shaun</t>
  </si>
  <si>
    <t>Adventure Time</t>
  </si>
  <si>
    <t>Finn Mertens</t>
  </si>
  <si>
    <t>The Powerpuff Girls</t>
  </si>
  <si>
    <t>Blossom Utonium</t>
  </si>
  <si>
    <t>Shin Chan</t>
  </si>
  <si>
    <t>Shinnosuke Nohara</t>
  </si>
  <si>
    <t>First Name</t>
  </si>
  <si>
    <t>Homer</t>
  </si>
  <si>
    <t>SpongeBob</t>
  </si>
  <si>
    <t>Peppa</t>
  </si>
  <si>
    <t>Thomas</t>
  </si>
  <si>
    <t>Marinette</t>
  </si>
  <si>
    <t>Ash</t>
  </si>
  <si>
    <t>Bugs</t>
  </si>
  <si>
    <t>Scoobert</t>
  </si>
  <si>
    <t>Son</t>
  </si>
  <si>
    <t>Finn</t>
  </si>
  <si>
    <t>Blossom</t>
  </si>
  <si>
    <t>Shinnosuke</t>
  </si>
  <si>
    <t>Concatenate</t>
  </si>
  <si>
    <t>Lower</t>
  </si>
  <si>
    <t>Upper</t>
  </si>
  <si>
    <t>Proper</t>
  </si>
  <si>
    <t>Length</t>
  </si>
  <si>
    <t>Left</t>
  </si>
  <si>
    <t>Right</t>
  </si>
  <si>
    <t>Mid</t>
  </si>
  <si>
    <t>Find</t>
  </si>
  <si>
    <t>Search</t>
  </si>
  <si>
    <t>Replace</t>
  </si>
  <si>
    <t>Substitute</t>
  </si>
  <si>
    <t>Conditions</t>
  </si>
  <si>
    <t>If</t>
  </si>
  <si>
    <t>AND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</si>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</sst>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66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2" fillId="2" borderId="0" xfId="0" applyFont="1" applyFill="1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36">
    <dxf>
      <fill>
        <patternFill patternType="solid">
          <fgColor rgb="FF66CCFF"/>
          <bgColor rgb="FF000000"/>
        </patternFill>
      </fill>
    </dxf>
    <dxf>
      <fill>
        <patternFill patternType="solid">
          <fgColor rgb="FFFFFF66"/>
          <bgColor rgb="FF000000"/>
        </patternFill>
      </fill>
    </dxf>
    <dxf>
      <fill>
        <patternFill patternType="solid">
          <fgColor rgb="FFFF99FF"/>
          <bgColor rgb="FF000000"/>
        </patternFill>
      </fill>
    </dxf>
    <dxf>
      <fill>
        <patternFill patternType="solid">
          <fgColor rgb="FF99FFCC"/>
          <bgColor rgb="FF000000"/>
        </patternFill>
      </fill>
    </dxf>
    <dxf>
      <fill>
        <patternFill patternType="solid">
          <fgColor rgb="FF66CCFF"/>
          <bgColor rgb="FF000000"/>
        </patternFill>
      </fill>
    </dxf>
    <dxf>
      <fill>
        <patternFill patternType="solid">
          <fgColor rgb="FFFFFF66"/>
          <bgColor rgb="FF000000"/>
        </patternFill>
      </fill>
    </dxf>
    <dxf>
      <fill>
        <patternFill patternType="solid">
          <fgColor rgb="FFFF99FF"/>
          <bgColor rgb="FF000000"/>
        </patternFill>
      </fill>
    </dxf>
    <dxf>
      <fill>
        <patternFill patternType="solid">
          <fgColor rgb="FF99FFCC"/>
          <bgColor rgb="FF000000"/>
        </patternFill>
      </fill>
    </dxf>
    <dxf>
      <fill>
        <patternFill patternType="solid">
          <fgColor rgb="FF66CCFF"/>
          <bgColor rgb="FF000000"/>
        </patternFill>
      </fill>
    </dxf>
    <dxf>
      <fill>
        <patternFill patternType="solid">
          <fgColor rgb="FF66CCFF"/>
          <bgColor rgb="FF000000"/>
        </patternFill>
      </fill>
    </dxf>
    <dxf>
      <fill>
        <patternFill patternType="solid">
          <fgColor rgb="FFFF99FF"/>
          <bgColor rgb="FF000000"/>
        </patternFill>
      </fill>
    </dxf>
    <dxf>
      <fill>
        <patternFill patternType="solid">
          <fgColor rgb="FFFF99FF"/>
          <bgColor rgb="FF000000"/>
        </patternFill>
      </fill>
    </dxf>
    <dxf>
      <fill>
        <patternFill patternType="solid">
          <fgColor rgb="FFFFFF66"/>
          <bgColor rgb="FF000000"/>
        </patternFill>
      </fill>
    </dxf>
    <dxf>
      <fill>
        <patternFill patternType="solid">
          <fgColor rgb="FFFFFF66"/>
          <bgColor rgb="FF000000"/>
        </patternFill>
      </fill>
    </dxf>
    <dxf>
      <fill>
        <patternFill patternType="solid">
          <fgColor rgb="FF99FFCC"/>
          <bgColor rgb="FF000000"/>
        </patternFill>
      </fill>
    </dxf>
    <dxf>
      <fill>
        <patternFill patternType="solid">
          <fgColor rgb="FF99FFCC"/>
          <bgColor rgb="FF000000"/>
        </patternFill>
      </fill>
    </dxf>
    <dxf>
      <fill>
        <patternFill patternType="solid">
          <fgColor rgb="FFFFFF66"/>
          <bgColor rgb="FF000000"/>
        </patternFill>
      </fill>
    </dxf>
    <dxf>
      <fill>
        <patternFill patternType="solid">
          <fgColor rgb="FFFFFF66"/>
          <bgColor rgb="FF000000"/>
        </patternFill>
      </fill>
    </dxf>
    <dxf>
      <fill>
        <patternFill patternType="solid">
          <fgColor rgb="FFFF99FF"/>
          <bgColor rgb="FF000000"/>
        </patternFill>
      </fill>
    </dxf>
    <dxf>
      <fill>
        <patternFill patternType="solid">
          <fgColor rgb="FFFF99FF"/>
          <bgColor rgb="FF000000"/>
        </patternFill>
      </fill>
    </dxf>
    <dxf>
      <fill>
        <patternFill patternType="solid">
          <fgColor rgb="FF66CCFF"/>
          <bgColor rgb="FF000000"/>
        </patternFill>
      </fill>
    </dxf>
    <dxf>
      <fill>
        <patternFill patternType="solid">
          <fgColor rgb="FF66CCFF"/>
          <bgColor rgb="FF000000"/>
        </patternFill>
      </fill>
    </dxf>
    <dxf>
      <fill>
        <patternFill patternType="solid">
          <fgColor rgb="FF99FFCC"/>
          <bgColor rgb="FF000000"/>
        </patternFill>
      </fill>
    </dxf>
    <dxf>
      <fill>
        <patternFill patternType="solid">
          <fgColor rgb="FF99FFCC"/>
          <bgColor rgb="FF000000"/>
        </patternFill>
      </fill>
    </dxf>
    <dxf>
      <font>
        <i val="0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20" formatCode="d\-mmm\-yy"/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99FFCC"/>
      <color rgb="FFFFFF66"/>
      <color rgb="FFFF99FF"/>
      <color rgb="FF66CCFF"/>
      <color rgb="FFFFFFCC"/>
      <color rgb="FFFFFF99"/>
      <color rgb="FF00CC00"/>
      <color rgb="FFFF66FF"/>
      <color rgb="FF00CC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99A16F-CBEF-4688-B537-5289CCCDB61B}" name="Table1" displayName="Table1" ref="B4:F24" totalsRowShown="0" headerRowDxfId="35">
  <autoFilter ref="B4:F24" xr:uid="{6F99A16F-CBEF-4688-B537-5289CCCDB61B}"/>
  <sortState xmlns:xlrd2="http://schemas.microsoft.com/office/spreadsheetml/2017/richdata2" ref="B5:F24">
    <sortCondition sortBy="cellColor" ref="F5:F24" dxfId="7"/>
    <sortCondition sortBy="cellColor" ref="F5:F24" dxfId="6"/>
    <sortCondition sortBy="cellColor" ref="F5:F24" dxfId="5"/>
    <sortCondition sortBy="cellColor" ref="F5:F24" dxfId="4"/>
  </sortState>
  <tableColumns count="5">
    <tableColumn id="1" xr3:uid="{1F90F03C-D6BD-4FA2-A524-F205BDC22DE2}" name="Date" dataDxfId="34"/>
    <tableColumn id="2" xr3:uid="{643DB256-3DAB-4F19-8374-C1B45CE4F7BC}" name="Category" dataDxfId="33"/>
    <tableColumn id="3" xr3:uid="{6E9A1B8F-CA40-4C3B-A7F2-7EE5982C4955}" name="Sub-Category" dataDxfId="32"/>
    <tableColumn id="4" xr3:uid="{28F960F8-3C73-4857-B14F-140757195AF7}" name="Price" dataDxfId="31"/>
    <tableColumn id="5" xr3:uid="{AD363CCE-B5D1-423A-BDBB-1A93723E4E07}" name="Payment Method" dataDxfId="3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3AF723-72DD-4696-BDA4-69EB65021D2D}" name="Table2" displayName="Table2" ref="C3:F23" totalsRowShown="0" headerRowDxfId="29" dataDxfId="28">
  <autoFilter ref="C3:F23" xr:uid="{743AF723-72DD-4696-BDA4-69EB65021D2D}"/>
  <tableColumns count="4">
    <tableColumn id="1" xr3:uid="{FB52134A-992C-4A15-9023-00D459E06353}" name="Country" dataDxfId="27"/>
    <tableColumn id="2" xr3:uid="{7995F8C9-879A-4A15-937E-D1BBAEC5F4C4}" name="Cartoon Show Name" dataDxfId="26"/>
    <tableColumn id="4" xr3:uid="{C15C8612-2B38-4B22-B4C2-F7E464F04DEA}" name="First Name" dataDxfId="25"/>
    <tableColumn id="3" xr3:uid="{2410E421-C666-4AD7-8FA6-4F0744A52F1E}" name="Full Name of Cartoon Character" dataDxfId="2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zoomScaleNormal="100" workbookViewId="0">
      <selection activeCell="L21" sqref="L21"/>
    </sheetView>
  </sheetViews>
  <sheetFormatPr defaultRowHeight="20.100000000000001" customHeight="1" x14ac:dyDescent="0.25"/>
  <cols>
    <col min="1" max="1" width="20.85546875" bestFit="1" customWidth="1"/>
    <col min="2" max="2" width="11.5703125" style="6" customWidth="1"/>
    <col min="3" max="3" width="15" style="8" customWidth="1"/>
    <col min="4" max="4" width="15.85546875" customWidth="1"/>
    <col min="5" max="5" width="14.42578125" style="1" customWidth="1"/>
    <col min="6" max="6" width="18.5703125" customWidth="1"/>
    <col min="8" max="8" width="12.140625" customWidth="1"/>
  </cols>
  <sheetData>
    <row r="1" spans="1:19" ht="20.100000000000001" customHeight="1" x14ac:dyDescent="0.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4" spans="1:19" ht="20.100000000000001" customHeight="1" x14ac:dyDescent="0.25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H4" t="s">
        <v>105</v>
      </c>
      <c r="I4" t="s">
        <v>106</v>
      </c>
      <c r="J4" t="s">
        <v>107</v>
      </c>
      <c r="K4" t="s">
        <v>108</v>
      </c>
    </row>
    <row r="5" spans="1:19" ht="20.100000000000001" customHeight="1" x14ac:dyDescent="0.25">
      <c r="A5">
        <v>1</v>
      </c>
      <c r="B5" s="5">
        <v>45693</v>
      </c>
      <c r="C5" s="7" t="s">
        <v>21</v>
      </c>
      <c r="D5" s="4" t="s">
        <v>28</v>
      </c>
      <c r="E5" s="2">
        <v>1500</v>
      </c>
      <c r="F5" s="10" t="s">
        <v>8</v>
      </c>
      <c r="H5" t="b">
        <f>Table1[[#This Row],[Price]]&gt;E6</f>
        <v>1</v>
      </c>
      <c r="I5" t="str">
        <f>IF(E5&gt;E6,"good","bad")</f>
        <v>good</v>
      </c>
      <c r="K5" t="str">
        <f>IF(OR(F5="upi",F5="cash"),"include","exclude")</f>
        <v>include</v>
      </c>
    </row>
    <row r="6" spans="1:19" ht="20.100000000000001" customHeight="1" x14ac:dyDescent="0.25">
      <c r="A6">
        <v>2</v>
      </c>
      <c r="B6" s="5">
        <v>45658</v>
      </c>
      <c r="C6" s="7" t="s">
        <v>6</v>
      </c>
      <c r="D6" s="4" t="s">
        <v>7</v>
      </c>
      <c r="E6" s="2">
        <v>1250</v>
      </c>
      <c r="F6" s="10" t="s">
        <v>8</v>
      </c>
      <c r="H6" t="b">
        <f>Table1[[#This Row],[Price]]&gt;E7</f>
        <v>1</v>
      </c>
      <c r="I6" t="str">
        <f t="shared" ref="I6:I10" si="0">IF(E6&gt;E7,"good","bad")</f>
        <v>good</v>
      </c>
      <c r="J6" t="str">
        <f>IF(AND(C6="food",D6="groceries"),"yes","no")</f>
        <v>yes</v>
      </c>
      <c r="K6" t="str">
        <f t="shared" ref="K6:K24" si="1">IF(OR(F6="upi",F6="cash"),"include","exclude")</f>
        <v>include</v>
      </c>
    </row>
    <row r="7" spans="1:19" ht="20.100000000000001" customHeight="1" x14ac:dyDescent="0.25">
      <c r="A7">
        <v>3</v>
      </c>
      <c r="B7" s="5">
        <v>45667</v>
      </c>
      <c r="C7" s="7" t="s">
        <v>6</v>
      </c>
      <c r="D7" s="4" t="s">
        <v>18</v>
      </c>
      <c r="E7" s="2">
        <v>850</v>
      </c>
      <c r="F7" s="10" t="s">
        <v>8</v>
      </c>
      <c r="H7" t="b">
        <f>Table1[[#This Row],[Price]]&gt;E8</f>
        <v>1</v>
      </c>
      <c r="I7" t="str">
        <f t="shared" si="0"/>
        <v>good</v>
      </c>
      <c r="J7" t="str">
        <f t="shared" ref="J7:J10" si="2">IF(AND(C7="food",D7="groceries"),"yes","no")</f>
        <v>no</v>
      </c>
      <c r="K7" t="str">
        <f t="shared" si="1"/>
        <v>include</v>
      </c>
    </row>
    <row r="8" spans="1:19" ht="20.100000000000001" customHeight="1" x14ac:dyDescent="0.25">
      <c r="A8">
        <v>4</v>
      </c>
      <c r="B8" s="5">
        <v>45675</v>
      </c>
      <c r="C8" s="7" t="s">
        <v>9</v>
      </c>
      <c r="D8" s="4" t="s">
        <v>23</v>
      </c>
      <c r="E8" s="2">
        <v>350</v>
      </c>
      <c r="F8" s="10" t="s">
        <v>8</v>
      </c>
      <c r="H8" t="b">
        <f>Table1[[#This Row],[Price]]&gt;E9</f>
        <v>0</v>
      </c>
      <c r="I8" t="str">
        <f t="shared" si="0"/>
        <v>bad</v>
      </c>
      <c r="J8" t="str">
        <f t="shared" si="2"/>
        <v>no</v>
      </c>
      <c r="K8" t="str">
        <f t="shared" si="1"/>
        <v>include</v>
      </c>
    </row>
    <row r="9" spans="1:19" ht="20.100000000000001" customHeight="1" x14ac:dyDescent="0.25">
      <c r="A9">
        <v>5</v>
      </c>
      <c r="B9" s="5">
        <v>45682</v>
      </c>
      <c r="C9" s="7" t="s">
        <v>15</v>
      </c>
      <c r="D9" s="4" t="s">
        <v>26</v>
      </c>
      <c r="E9" s="2">
        <v>999</v>
      </c>
      <c r="F9" s="10" t="s">
        <v>8</v>
      </c>
      <c r="H9" t="b">
        <f>Table1[[#This Row],[Price]]&gt;E10</f>
        <v>1</v>
      </c>
      <c r="I9" t="str">
        <f>IF(E9&gt;E10,"good","bad")</f>
        <v>good</v>
      </c>
      <c r="J9" t="str">
        <f t="shared" si="2"/>
        <v>no</v>
      </c>
      <c r="K9" t="str">
        <f t="shared" si="1"/>
        <v>include</v>
      </c>
    </row>
    <row r="10" spans="1:19" ht="20.100000000000001" customHeight="1" x14ac:dyDescent="0.25">
      <c r="A10">
        <v>6</v>
      </c>
      <c r="B10" s="5">
        <v>45703</v>
      </c>
      <c r="C10" s="7" t="s">
        <v>15</v>
      </c>
      <c r="D10" s="4" t="s">
        <v>31</v>
      </c>
      <c r="E10" s="2">
        <v>450</v>
      </c>
      <c r="F10" s="10" t="s">
        <v>8</v>
      </c>
      <c r="H10" t="b">
        <f>Table1[[#This Row],[Price]]&gt;E11</f>
        <v>0</v>
      </c>
      <c r="I10" t="str">
        <f>IF(E10&gt;E11,"good","bad")</f>
        <v>bad</v>
      </c>
      <c r="J10" t="str">
        <f t="shared" si="2"/>
        <v>no</v>
      </c>
      <c r="K10" t="str">
        <f t="shared" si="1"/>
        <v>include</v>
      </c>
    </row>
    <row r="11" spans="1:19" ht="20.100000000000001" customHeight="1" x14ac:dyDescent="0.25">
      <c r="A11">
        <v>7</v>
      </c>
      <c r="B11" s="5">
        <v>45713</v>
      </c>
      <c r="C11" s="7" t="s">
        <v>19</v>
      </c>
      <c r="D11" s="4" t="s">
        <v>33</v>
      </c>
      <c r="E11" s="2">
        <v>2800</v>
      </c>
      <c r="F11" s="10" t="s">
        <v>8</v>
      </c>
      <c r="K11" t="str">
        <f t="shared" si="1"/>
        <v>include</v>
      </c>
    </row>
    <row r="12" spans="1:19" ht="20.100000000000001" customHeight="1" x14ac:dyDescent="0.25">
      <c r="A12">
        <v>8</v>
      </c>
      <c r="B12" s="5">
        <v>45662</v>
      </c>
      <c r="C12" s="7" t="s">
        <v>12</v>
      </c>
      <c r="D12" s="4" t="s">
        <v>13</v>
      </c>
      <c r="E12" s="2">
        <v>450</v>
      </c>
      <c r="F12" s="11" t="s">
        <v>14</v>
      </c>
      <c r="K12" t="str">
        <f t="shared" si="1"/>
        <v>include</v>
      </c>
    </row>
    <row r="13" spans="1:19" ht="20.100000000000001" customHeight="1" x14ac:dyDescent="0.25">
      <c r="A13">
        <v>9</v>
      </c>
      <c r="B13" s="5">
        <v>45672</v>
      </c>
      <c r="C13" s="7" t="s">
        <v>21</v>
      </c>
      <c r="D13" s="4" t="s">
        <v>22</v>
      </c>
      <c r="E13" s="2">
        <v>670</v>
      </c>
      <c r="F13" s="11" t="s">
        <v>14</v>
      </c>
      <c r="K13" t="str">
        <f t="shared" si="1"/>
        <v>include</v>
      </c>
    </row>
    <row r="14" spans="1:19" ht="20.100000000000001" customHeight="1" x14ac:dyDescent="0.25">
      <c r="A14">
        <v>10</v>
      </c>
      <c r="B14" s="5">
        <v>45700</v>
      </c>
      <c r="C14" s="7" t="s">
        <v>19</v>
      </c>
      <c r="D14" s="4" t="s">
        <v>30</v>
      </c>
      <c r="E14" s="2">
        <v>650</v>
      </c>
      <c r="F14" s="11" t="s">
        <v>14</v>
      </c>
      <c r="K14" t="str">
        <f t="shared" si="1"/>
        <v>include</v>
      </c>
    </row>
    <row r="15" spans="1:19" ht="20.100000000000001" customHeight="1" x14ac:dyDescent="0.25">
      <c r="A15">
        <v>11</v>
      </c>
      <c r="B15" s="5">
        <v>45677</v>
      </c>
      <c r="C15" s="7" t="s">
        <v>6</v>
      </c>
      <c r="D15" s="4" t="s">
        <v>7</v>
      </c>
      <c r="E15" s="2">
        <v>980</v>
      </c>
      <c r="F15" s="12" t="s">
        <v>24</v>
      </c>
      <c r="K15" t="str">
        <f t="shared" si="1"/>
        <v>exclude</v>
      </c>
    </row>
    <row r="16" spans="1:19" ht="20.100000000000001" customHeight="1" x14ac:dyDescent="0.25">
      <c r="A16">
        <v>12</v>
      </c>
      <c r="B16" s="5">
        <v>45690</v>
      </c>
      <c r="C16" s="7" t="s">
        <v>6</v>
      </c>
      <c r="D16" s="4" t="s">
        <v>18</v>
      </c>
      <c r="E16" s="2">
        <v>1200</v>
      </c>
      <c r="F16" s="12" t="s">
        <v>24</v>
      </c>
      <c r="K16" t="str">
        <f t="shared" si="1"/>
        <v>exclude</v>
      </c>
    </row>
    <row r="17" spans="1:11" ht="20.100000000000001" customHeight="1" x14ac:dyDescent="0.25">
      <c r="A17">
        <v>13</v>
      </c>
      <c r="B17" s="5">
        <v>45710</v>
      </c>
      <c r="C17" s="7" t="s">
        <v>6</v>
      </c>
      <c r="D17" s="4" t="s">
        <v>7</v>
      </c>
      <c r="E17" s="2">
        <v>1450</v>
      </c>
      <c r="F17" s="12" t="s">
        <v>24</v>
      </c>
      <c r="K17" t="str">
        <f t="shared" si="1"/>
        <v>exclude</v>
      </c>
    </row>
    <row r="18" spans="1:11" ht="20.100000000000001" customHeight="1" x14ac:dyDescent="0.25">
      <c r="A18">
        <v>14</v>
      </c>
      <c r="B18" s="5">
        <v>45660</v>
      </c>
      <c r="C18" s="7" t="s">
        <v>9</v>
      </c>
      <c r="D18" s="4" t="s">
        <v>10</v>
      </c>
      <c r="E18" s="2">
        <v>2200</v>
      </c>
      <c r="F18" s="13" t="s">
        <v>11</v>
      </c>
      <c r="K18" t="str">
        <f t="shared" si="1"/>
        <v>exclude</v>
      </c>
    </row>
    <row r="19" spans="1:11" ht="20.100000000000001" customHeight="1" x14ac:dyDescent="0.25">
      <c r="A19">
        <v>15</v>
      </c>
      <c r="B19" s="5">
        <v>45669</v>
      </c>
      <c r="C19" s="7" t="s">
        <v>19</v>
      </c>
      <c r="D19" s="4" t="s">
        <v>20</v>
      </c>
      <c r="E19" s="2">
        <v>3200</v>
      </c>
      <c r="F19" s="13" t="s">
        <v>11</v>
      </c>
      <c r="K19" t="str">
        <f t="shared" si="1"/>
        <v>exclude</v>
      </c>
    </row>
    <row r="20" spans="1:11" ht="27" customHeight="1" x14ac:dyDescent="0.25">
      <c r="A20">
        <v>16</v>
      </c>
      <c r="B20" s="9">
        <v>45679</v>
      </c>
      <c r="C20" s="7" t="s">
        <v>12</v>
      </c>
      <c r="D20" s="7" t="s">
        <v>25</v>
      </c>
      <c r="E20" s="2">
        <v>499</v>
      </c>
      <c r="F20" s="13" t="s">
        <v>11</v>
      </c>
      <c r="K20" t="str">
        <f t="shared" si="1"/>
        <v>exclude</v>
      </c>
    </row>
    <row r="21" spans="1:11" ht="20.100000000000001" customHeight="1" x14ac:dyDescent="0.25">
      <c r="A21">
        <v>17</v>
      </c>
      <c r="B21" s="5">
        <v>45685</v>
      </c>
      <c r="C21" s="7" t="s">
        <v>19</v>
      </c>
      <c r="D21" s="4" t="s">
        <v>27</v>
      </c>
      <c r="E21" s="2">
        <v>8500</v>
      </c>
      <c r="F21" s="13" t="s">
        <v>11</v>
      </c>
      <c r="K21" t="str">
        <f t="shared" si="1"/>
        <v>exclude</v>
      </c>
    </row>
    <row r="22" spans="1:11" ht="20.100000000000001" customHeight="1" x14ac:dyDescent="0.25">
      <c r="A22">
        <v>18</v>
      </c>
      <c r="B22" s="5">
        <v>45706</v>
      </c>
      <c r="C22" s="7" t="s">
        <v>12</v>
      </c>
      <c r="D22" s="4" t="s">
        <v>32</v>
      </c>
      <c r="E22" s="2">
        <v>2500</v>
      </c>
      <c r="F22" s="13" t="s">
        <v>11</v>
      </c>
      <c r="K22" t="str">
        <f t="shared" si="1"/>
        <v>exclude</v>
      </c>
    </row>
    <row r="23" spans="1:11" ht="20.100000000000001" customHeight="1" x14ac:dyDescent="0.25">
      <c r="A23">
        <v>19</v>
      </c>
      <c r="B23" s="5">
        <v>45664</v>
      </c>
      <c r="C23" s="7" t="s">
        <v>15</v>
      </c>
      <c r="D23" s="4" t="s">
        <v>16</v>
      </c>
      <c r="E23" s="2">
        <v>1800</v>
      </c>
      <c r="F23" s="4" t="s">
        <v>17</v>
      </c>
      <c r="K23" t="str">
        <f t="shared" si="1"/>
        <v>exclude</v>
      </c>
    </row>
    <row r="24" spans="1:11" ht="20.100000000000001" customHeight="1" x14ac:dyDescent="0.25">
      <c r="A24">
        <v>20</v>
      </c>
      <c r="B24" s="5">
        <v>45696</v>
      </c>
      <c r="C24" s="7" t="s">
        <v>9</v>
      </c>
      <c r="D24" s="4" t="s">
        <v>29</v>
      </c>
      <c r="E24" s="2">
        <v>760</v>
      </c>
      <c r="F24" s="4" t="s">
        <v>17</v>
      </c>
      <c r="K24" t="str">
        <f t="shared" si="1"/>
        <v>exclude</v>
      </c>
    </row>
  </sheetData>
  <mergeCells count="1">
    <mergeCell ref="A1:S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B6F1-8294-41ED-B01D-85D5541A7521}">
  <dimension ref="A1:T23"/>
  <sheetViews>
    <sheetView tabSelected="1" topLeftCell="F21" workbookViewId="0">
      <selection activeCell="U3" sqref="U3"/>
    </sheetView>
  </sheetViews>
  <sheetFormatPr defaultRowHeight="20.100000000000001" customHeight="1" x14ac:dyDescent="0.25"/>
  <cols>
    <col min="3" max="3" width="12.5703125" bestFit="1" customWidth="1"/>
    <col min="4" max="4" width="27.140625" bestFit="1" customWidth="1"/>
    <col min="5" max="5" width="27.140625" customWidth="1"/>
    <col min="6" max="6" width="33.7109375" bestFit="1" customWidth="1"/>
    <col min="8" max="8" width="31.42578125" customWidth="1"/>
    <col min="9" max="9" width="12" customWidth="1"/>
    <col min="10" max="10" width="14.28515625" customWidth="1"/>
    <col min="11" max="11" width="23.5703125" bestFit="1" customWidth="1"/>
    <col min="18" max="18" width="10.7109375" customWidth="1"/>
    <col min="19" max="19" width="12" customWidth="1"/>
  </cols>
  <sheetData>
    <row r="1" spans="1:20" ht="20.100000000000001" customHeight="1" x14ac:dyDescent="0.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3" spans="1:20" ht="20.100000000000001" customHeight="1" x14ac:dyDescent="0.25">
      <c r="C3" s="3" t="s">
        <v>34</v>
      </c>
      <c r="D3" s="3" t="s">
        <v>35</v>
      </c>
      <c r="E3" s="3" t="s">
        <v>80</v>
      </c>
      <c r="F3" s="3" t="s">
        <v>36</v>
      </c>
      <c r="H3" s="17" t="s">
        <v>93</v>
      </c>
      <c r="I3" s="17" t="s">
        <v>94</v>
      </c>
      <c r="J3" s="17" t="s">
        <v>95</v>
      </c>
      <c r="K3" s="17" t="s">
        <v>96</v>
      </c>
      <c r="L3" s="17" t="s">
        <v>97</v>
      </c>
      <c r="M3" s="17" t="s">
        <v>98</v>
      </c>
      <c r="N3" s="17" t="s">
        <v>99</v>
      </c>
      <c r="O3" s="17" t="s">
        <v>100</v>
      </c>
      <c r="P3" s="17" t="s">
        <v>101</v>
      </c>
      <c r="Q3" s="17" t="s">
        <v>102</v>
      </c>
      <c r="R3" s="17" t="s">
        <v>103</v>
      </c>
      <c r="S3" s="17" t="s">
        <v>104</v>
      </c>
    </row>
    <row r="4" spans="1:20" ht="20.100000000000001" customHeight="1" x14ac:dyDescent="0.25">
      <c r="C4" s="4" t="s">
        <v>37</v>
      </c>
      <c r="D4" s="4" t="s">
        <v>38</v>
      </c>
      <c r="E4" s="4" t="s">
        <v>81</v>
      </c>
      <c r="F4" s="4" t="s">
        <v>39</v>
      </c>
      <c r="H4" t="str">
        <f>_xlfn.CONCAT(D4,," , ", C4)</f>
        <v>The Simpsons , USA</v>
      </c>
      <c r="I4" t="str">
        <f>LOWER(Table2[[#This Row],[First Name]])</f>
        <v>homer</v>
      </c>
      <c r="J4" t="str">
        <f>UPPER(Table2[[#This Row],[First Name]])</f>
        <v>HOMER</v>
      </c>
      <c r="K4" t="str">
        <f>PROPER(Table2[[#This Row],[Full Name of Cartoon Character]])</f>
        <v>Homer Jay Simpson</v>
      </c>
      <c r="L4">
        <f>LEN(Table2[[#This Row],[Full Name of Cartoon Character]])</f>
        <v>17</v>
      </c>
      <c r="M4" t="str">
        <f>LEFT(Table2[[#This Row],[Cartoon Show Name]],4)</f>
        <v xml:space="preserve">The </v>
      </c>
      <c r="N4" t="str">
        <f>RIGHT(Table2[[#This Row],[Cartoon Show Name]],4)</f>
        <v>sons</v>
      </c>
      <c r="O4" t="str">
        <f>MID(Table2[[#This Row],[Cartoon Show Name]],5,4)</f>
        <v>Simp</v>
      </c>
      <c r="P4" t="e">
        <f>FIND("t",Table2[[#This Row],[Cartoon Show Name]])</f>
        <v>#VALUE!</v>
      </c>
      <c r="Q4">
        <f>SEARCH("t",Table2[[#This Row],[Cartoon Show Name]])</f>
        <v>1</v>
      </c>
      <c r="R4" t="str">
        <f>REPLACE(I4,2,1,"a")</f>
        <v>hamer</v>
      </c>
      <c r="S4" t="str">
        <f>SUBSTITUTE(R4,"a","o")</f>
        <v>homer</v>
      </c>
    </row>
    <row r="5" spans="1:20" ht="20.100000000000001" customHeight="1" x14ac:dyDescent="0.25">
      <c r="C5" s="4" t="s">
        <v>37</v>
      </c>
      <c r="D5" s="4" t="s">
        <v>40</v>
      </c>
      <c r="E5" s="4" t="s">
        <v>82</v>
      </c>
      <c r="F5" s="4" t="s">
        <v>40</v>
      </c>
      <c r="H5" t="str">
        <f t="shared" ref="H5:H23" si="0">_xlfn.CONCAT(D5,," , ", C5)</f>
        <v>SpongeBob SquarePants , USA</v>
      </c>
      <c r="I5" t="str">
        <f>LOWER(Table2[[#This Row],[First Name]])</f>
        <v>spongebob</v>
      </c>
      <c r="J5" t="str">
        <f>UPPER(Table2[[#This Row],[First Name]])</f>
        <v>SPONGEBOB</v>
      </c>
      <c r="K5" t="str">
        <f>PROPER(Table2[[#This Row],[Full Name of Cartoon Character]])</f>
        <v>Spongebob Squarepants</v>
      </c>
      <c r="L5">
        <f>LEN(Table2[[#This Row],[Full Name of Cartoon Character]])</f>
        <v>21</v>
      </c>
      <c r="M5" t="str">
        <f>LEFT(Table2[[#This Row],[Cartoon Show Name]],4)</f>
        <v>Spon</v>
      </c>
      <c r="N5" t="str">
        <f>RIGHT(Table2[[#This Row],[Cartoon Show Name]],4)</f>
        <v>ants</v>
      </c>
      <c r="O5" t="str">
        <f>MID(Table2[[#This Row],[Cartoon Show Name]],5,4)</f>
        <v>geBo</v>
      </c>
      <c r="P5">
        <f>FIND("t",Table2[[#This Row],[Cartoon Show Name]])</f>
        <v>20</v>
      </c>
      <c r="Q5">
        <f>SEARCH("t",Table2[[#This Row],[Cartoon Show Name]])</f>
        <v>20</v>
      </c>
      <c r="R5" t="str">
        <f t="shared" ref="R5:R23" si="1">REPLACE(I5,2,1,"a")</f>
        <v>saongebob</v>
      </c>
      <c r="S5" t="str">
        <f t="shared" ref="S5:S23" si="2">SUBSTITUTE(R5,"a","o")</f>
        <v>soongebob</v>
      </c>
    </row>
    <row r="6" spans="1:20" ht="20.100000000000001" customHeight="1" x14ac:dyDescent="0.25">
      <c r="C6" s="4" t="s">
        <v>41</v>
      </c>
      <c r="D6" s="4" t="s">
        <v>42</v>
      </c>
      <c r="E6" s="4" t="s">
        <v>42</v>
      </c>
      <c r="F6" s="4" t="s">
        <v>42</v>
      </c>
      <c r="H6" t="str">
        <f t="shared" si="0"/>
        <v>Doraemon , Japan</v>
      </c>
      <c r="I6" t="str">
        <f>LOWER(Table2[[#This Row],[First Name]])</f>
        <v>doraemon</v>
      </c>
      <c r="J6" t="str">
        <f>UPPER(Table2[[#This Row],[First Name]])</f>
        <v>DORAEMON</v>
      </c>
      <c r="K6" t="str">
        <f>PROPER(Table2[[#This Row],[Full Name of Cartoon Character]])</f>
        <v>Doraemon</v>
      </c>
      <c r="L6">
        <f>LEN(Table2[[#This Row],[Full Name of Cartoon Character]])</f>
        <v>8</v>
      </c>
      <c r="M6" t="str">
        <f>LEFT(Table2[[#This Row],[Cartoon Show Name]],4)</f>
        <v>Dora</v>
      </c>
      <c r="N6" t="str">
        <f>RIGHT(Table2[[#This Row],[Cartoon Show Name]],4)</f>
        <v>emon</v>
      </c>
      <c r="O6" t="str">
        <f>MID(Table2[[#This Row],[Cartoon Show Name]],5,4)</f>
        <v>emon</v>
      </c>
      <c r="P6" t="e">
        <f>FIND("t",Table2[[#This Row],[Cartoon Show Name]])</f>
        <v>#VALUE!</v>
      </c>
      <c r="Q6" t="e">
        <f>SEARCH("t",Table2[[#This Row],[Cartoon Show Name]])</f>
        <v>#VALUE!</v>
      </c>
      <c r="R6" t="str">
        <f t="shared" si="1"/>
        <v>daraemon</v>
      </c>
      <c r="S6" t="str">
        <f t="shared" si="2"/>
        <v>doroemon</v>
      </c>
    </row>
    <row r="7" spans="1:20" ht="20.100000000000001" customHeight="1" x14ac:dyDescent="0.25">
      <c r="C7" s="4" t="s">
        <v>41</v>
      </c>
      <c r="D7" s="4" t="s">
        <v>43</v>
      </c>
      <c r="E7" s="4" t="s">
        <v>43</v>
      </c>
      <c r="F7" s="4" t="s">
        <v>44</v>
      </c>
      <c r="H7" t="str">
        <f t="shared" si="0"/>
        <v>Naruto , Japan</v>
      </c>
      <c r="I7" t="str">
        <f>LOWER(Table2[[#This Row],[First Name]])</f>
        <v>naruto</v>
      </c>
      <c r="J7" t="str">
        <f>UPPER(Table2[[#This Row],[First Name]])</f>
        <v>NARUTO</v>
      </c>
      <c r="K7" t="str">
        <f>PROPER(Table2[[#This Row],[Full Name of Cartoon Character]])</f>
        <v>Naruto Uzumaki</v>
      </c>
      <c r="L7">
        <f>LEN(Table2[[#This Row],[Full Name of Cartoon Character]])</f>
        <v>14</v>
      </c>
      <c r="M7" t="str">
        <f>LEFT(Table2[[#This Row],[Cartoon Show Name]],4)</f>
        <v>Naru</v>
      </c>
      <c r="N7" t="str">
        <f>RIGHT(Table2[[#This Row],[Cartoon Show Name]],4)</f>
        <v>ruto</v>
      </c>
      <c r="O7" t="str">
        <f>MID(Table2[[#This Row],[Cartoon Show Name]],5,4)</f>
        <v>to</v>
      </c>
      <c r="P7">
        <f>FIND("t",Table2[[#This Row],[Cartoon Show Name]])</f>
        <v>5</v>
      </c>
      <c r="Q7">
        <f>SEARCH("t",Table2[[#This Row],[Cartoon Show Name]])</f>
        <v>5</v>
      </c>
      <c r="R7" t="str">
        <f t="shared" si="1"/>
        <v>naruto</v>
      </c>
      <c r="S7" t="str">
        <f t="shared" si="2"/>
        <v>noruto</v>
      </c>
    </row>
    <row r="8" spans="1:20" ht="20.100000000000001" customHeight="1" x14ac:dyDescent="0.25">
      <c r="C8" s="4" t="s">
        <v>45</v>
      </c>
      <c r="D8" s="4" t="s">
        <v>46</v>
      </c>
      <c r="E8" s="4" t="s">
        <v>47</v>
      </c>
      <c r="F8" s="4" t="s">
        <v>47</v>
      </c>
      <c r="H8" t="str">
        <f t="shared" si="0"/>
        <v>Chhota Bheem , India</v>
      </c>
      <c r="I8" t="str">
        <f>LOWER(Table2[[#This Row],[First Name]])</f>
        <v>bheem</v>
      </c>
      <c r="J8" t="str">
        <f>UPPER(Table2[[#This Row],[First Name]])</f>
        <v>BHEEM</v>
      </c>
      <c r="K8" t="str">
        <f>PROPER(Table2[[#This Row],[Full Name of Cartoon Character]])</f>
        <v>Bheem</v>
      </c>
      <c r="L8">
        <f>LEN(Table2[[#This Row],[Full Name of Cartoon Character]])</f>
        <v>5</v>
      </c>
      <c r="M8" t="str">
        <f>LEFT(Table2[[#This Row],[Cartoon Show Name]],4)</f>
        <v>Chho</v>
      </c>
      <c r="N8" t="str">
        <f>RIGHT(Table2[[#This Row],[Cartoon Show Name]],4)</f>
        <v>heem</v>
      </c>
      <c r="O8" t="str">
        <f>MID(Table2[[#This Row],[Cartoon Show Name]],5,4)</f>
        <v>ta B</v>
      </c>
      <c r="P8">
        <f>FIND("t",Table2[[#This Row],[Cartoon Show Name]])</f>
        <v>5</v>
      </c>
      <c r="Q8">
        <f>SEARCH("t",Table2[[#This Row],[Cartoon Show Name]])</f>
        <v>5</v>
      </c>
      <c r="R8" t="str">
        <f t="shared" si="1"/>
        <v>baeem</v>
      </c>
      <c r="S8" t="str">
        <f t="shared" si="2"/>
        <v>boeem</v>
      </c>
    </row>
    <row r="9" spans="1:20" ht="20.100000000000001" customHeight="1" x14ac:dyDescent="0.25">
      <c r="C9" s="4" t="s">
        <v>45</v>
      </c>
      <c r="D9" s="4" t="s">
        <v>48</v>
      </c>
      <c r="E9" s="4" t="s">
        <v>49</v>
      </c>
      <c r="F9" s="4" t="s">
        <v>49</v>
      </c>
      <c r="H9" t="str">
        <f t="shared" si="0"/>
        <v>Motu Patlu , India</v>
      </c>
      <c r="I9" t="str">
        <f>LOWER(Table2[[#This Row],[First Name]])</f>
        <v>motu</v>
      </c>
      <c r="J9" t="str">
        <f>UPPER(Table2[[#This Row],[First Name]])</f>
        <v>MOTU</v>
      </c>
      <c r="K9" t="str">
        <f>PROPER(Table2[[#This Row],[Full Name of Cartoon Character]])</f>
        <v>Motu</v>
      </c>
      <c r="L9">
        <f>LEN(Table2[[#This Row],[Full Name of Cartoon Character]])</f>
        <v>4</v>
      </c>
      <c r="M9" t="str">
        <f>LEFT(Table2[[#This Row],[Cartoon Show Name]],4)</f>
        <v>Motu</v>
      </c>
      <c r="N9" t="str">
        <f>RIGHT(Table2[[#This Row],[Cartoon Show Name]],4)</f>
        <v>atlu</v>
      </c>
      <c r="O9" t="str">
        <f>MID(Table2[[#This Row],[Cartoon Show Name]],5,4)</f>
        <v xml:space="preserve"> Pat</v>
      </c>
      <c r="P9">
        <f>FIND("t",Table2[[#This Row],[Cartoon Show Name]])</f>
        <v>3</v>
      </c>
      <c r="Q9">
        <f>SEARCH("t",Table2[[#This Row],[Cartoon Show Name]])</f>
        <v>3</v>
      </c>
      <c r="R9" t="str">
        <f t="shared" si="1"/>
        <v>matu</v>
      </c>
      <c r="S9" t="str">
        <f t="shared" si="2"/>
        <v>motu</v>
      </c>
    </row>
    <row r="10" spans="1:20" ht="20.100000000000001" customHeight="1" x14ac:dyDescent="0.25">
      <c r="C10" s="4" t="s">
        <v>50</v>
      </c>
      <c r="D10" s="4" t="s">
        <v>51</v>
      </c>
      <c r="E10" s="4" t="s">
        <v>83</v>
      </c>
      <c r="F10" s="4" t="s">
        <v>51</v>
      </c>
      <c r="H10" t="str">
        <f t="shared" si="0"/>
        <v>Peppa Pig , UK</v>
      </c>
      <c r="I10" t="str">
        <f>LOWER(Table2[[#This Row],[First Name]])</f>
        <v>peppa</v>
      </c>
      <c r="J10" t="str">
        <f>UPPER(Table2[[#This Row],[First Name]])</f>
        <v>PEPPA</v>
      </c>
      <c r="K10" t="str">
        <f>PROPER(Table2[[#This Row],[Full Name of Cartoon Character]])</f>
        <v>Peppa Pig</v>
      </c>
      <c r="L10">
        <f>LEN(Table2[[#This Row],[Full Name of Cartoon Character]])</f>
        <v>9</v>
      </c>
      <c r="M10" t="str">
        <f>LEFT(Table2[[#This Row],[Cartoon Show Name]],4)</f>
        <v>Pepp</v>
      </c>
      <c r="N10" t="str">
        <f>RIGHT(Table2[[#This Row],[Cartoon Show Name]],4)</f>
        <v xml:space="preserve"> Pig</v>
      </c>
      <c r="O10" t="str">
        <f>MID(Table2[[#This Row],[Cartoon Show Name]],5,4)</f>
        <v>a Pi</v>
      </c>
      <c r="P10" t="e">
        <f>FIND("t",Table2[[#This Row],[Cartoon Show Name]])</f>
        <v>#VALUE!</v>
      </c>
      <c r="Q10" t="e">
        <f>SEARCH("t",Table2[[#This Row],[Cartoon Show Name]])</f>
        <v>#VALUE!</v>
      </c>
      <c r="R10" t="str">
        <f t="shared" si="1"/>
        <v>pappa</v>
      </c>
      <c r="S10" t="str">
        <f t="shared" si="2"/>
        <v>poppo</v>
      </c>
    </row>
    <row r="11" spans="1:20" ht="20.100000000000001" customHeight="1" x14ac:dyDescent="0.25">
      <c r="C11" s="4" t="s">
        <v>50</v>
      </c>
      <c r="D11" s="4" t="s">
        <v>52</v>
      </c>
      <c r="E11" s="4" t="s">
        <v>84</v>
      </c>
      <c r="F11" s="4" t="s">
        <v>53</v>
      </c>
      <c r="H11" t="str">
        <f t="shared" si="0"/>
        <v>Thomas &amp; Friends , UK</v>
      </c>
      <c r="I11" t="str">
        <f>LOWER(Table2[[#This Row],[First Name]])</f>
        <v>thomas</v>
      </c>
      <c r="J11" t="str">
        <f>UPPER(Table2[[#This Row],[First Name]])</f>
        <v>THOMAS</v>
      </c>
      <c r="K11" t="str">
        <f>PROPER(Table2[[#This Row],[Full Name of Cartoon Character]])</f>
        <v>Thomas The Tank Engine</v>
      </c>
      <c r="L11">
        <f>LEN(Table2[[#This Row],[Full Name of Cartoon Character]])</f>
        <v>22</v>
      </c>
      <c r="M11" t="str">
        <f>LEFT(Table2[[#This Row],[Cartoon Show Name]],4)</f>
        <v>Thom</v>
      </c>
      <c r="N11" t="str">
        <f>RIGHT(Table2[[#This Row],[Cartoon Show Name]],4)</f>
        <v>ends</v>
      </c>
      <c r="O11" t="str">
        <f>MID(Table2[[#This Row],[Cartoon Show Name]],5,4)</f>
        <v>as &amp;</v>
      </c>
      <c r="P11" t="e">
        <f>FIND("t",Table2[[#This Row],[Cartoon Show Name]])</f>
        <v>#VALUE!</v>
      </c>
      <c r="Q11">
        <f>SEARCH("t",Table2[[#This Row],[Cartoon Show Name]])</f>
        <v>1</v>
      </c>
      <c r="R11" t="str">
        <f t="shared" si="1"/>
        <v>taomas</v>
      </c>
      <c r="S11" t="str">
        <f t="shared" si="2"/>
        <v>toomos</v>
      </c>
    </row>
    <row r="12" spans="1:20" ht="20.100000000000001" customHeight="1" x14ac:dyDescent="0.25">
      <c r="C12" s="4" t="s">
        <v>54</v>
      </c>
      <c r="D12" s="4" t="s">
        <v>55</v>
      </c>
      <c r="E12" s="4" t="s">
        <v>56</v>
      </c>
      <c r="F12" s="4" t="s">
        <v>56</v>
      </c>
      <c r="H12" t="str">
        <f t="shared" si="0"/>
        <v>Total Drama Island , Canada</v>
      </c>
      <c r="I12" t="str">
        <f>LOWER(Table2[[#This Row],[First Name]])</f>
        <v>owen</v>
      </c>
      <c r="J12" t="str">
        <f>UPPER(Table2[[#This Row],[First Name]])</f>
        <v>OWEN</v>
      </c>
      <c r="K12" t="str">
        <f>PROPER(Table2[[#This Row],[Full Name of Cartoon Character]])</f>
        <v>Owen</v>
      </c>
      <c r="L12">
        <f>LEN(Table2[[#This Row],[Full Name of Cartoon Character]])</f>
        <v>4</v>
      </c>
      <c r="M12" t="str">
        <f>LEFT(Table2[[#This Row],[Cartoon Show Name]],4)</f>
        <v>Tota</v>
      </c>
      <c r="N12" t="str">
        <f>RIGHT(Table2[[#This Row],[Cartoon Show Name]],4)</f>
        <v>land</v>
      </c>
      <c r="O12" t="str">
        <f>MID(Table2[[#This Row],[Cartoon Show Name]],5,4)</f>
        <v>l Dr</v>
      </c>
      <c r="P12">
        <f>FIND("t",Table2[[#This Row],[Cartoon Show Name]])</f>
        <v>3</v>
      </c>
      <c r="Q12">
        <f>SEARCH("t",Table2[[#This Row],[Cartoon Show Name]])</f>
        <v>1</v>
      </c>
      <c r="R12" t="str">
        <f t="shared" si="1"/>
        <v>oaen</v>
      </c>
      <c r="S12" t="str">
        <f t="shared" si="2"/>
        <v>ooen</v>
      </c>
    </row>
    <row r="13" spans="1:20" ht="30" x14ac:dyDescent="0.25">
      <c r="C13" s="4" t="s">
        <v>57</v>
      </c>
      <c r="D13" s="4" t="s">
        <v>58</v>
      </c>
      <c r="E13" s="4" t="s">
        <v>85</v>
      </c>
      <c r="F13" s="4" t="s">
        <v>59</v>
      </c>
      <c r="H13" s="16" t="str">
        <f>_xlfn.CONCAT(D13,," , ", C13)</f>
        <v>Miraculous: Tales of Ladybug &amp; Cat Noir , France</v>
      </c>
      <c r="I13" t="str">
        <f>LOWER(Table2[[#This Row],[First Name]])</f>
        <v>marinette</v>
      </c>
      <c r="J13" t="str">
        <f>UPPER(Table2[[#This Row],[First Name]])</f>
        <v>MARINETTE</v>
      </c>
      <c r="K13" t="str">
        <f>PROPER(Table2[[#This Row],[Full Name of Cartoon Character]])</f>
        <v>Marinette Dupain-Cheng</v>
      </c>
      <c r="L13">
        <f>LEN(Table2[[#This Row],[Full Name of Cartoon Character]])</f>
        <v>22</v>
      </c>
      <c r="M13" t="str">
        <f>LEFT(Table2[[#This Row],[Cartoon Show Name]],4)</f>
        <v>Mira</v>
      </c>
      <c r="N13" t="str">
        <f>RIGHT(Table2[[#This Row],[Cartoon Show Name]],4)</f>
        <v>Noir</v>
      </c>
      <c r="O13" t="str">
        <f>MID(Table2[[#This Row],[Cartoon Show Name]],5,4)</f>
        <v>culo</v>
      </c>
      <c r="P13">
        <f>FIND("t",Table2[[#This Row],[Cartoon Show Name]])</f>
        <v>34</v>
      </c>
      <c r="Q13">
        <f>SEARCH("t",Table2[[#This Row],[Cartoon Show Name]])</f>
        <v>13</v>
      </c>
      <c r="R13" t="str">
        <f t="shared" si="1"/>
        <v>marinette</v>
      </c>
      <c r="S13" t="str">
        <f t="shared" si="2"/>
        <v>morinette</v>
      </c>
    </row>
    <row r="14" spans="1:20" ht="20.100000000000001" customHeight="1" x14ac:dyDescent="0.25">
      <c r="C14" s="4" t="s">
        <v>41</v>
      </c>
      <c r="D14" s="4" t="s">
        <v>60</v>
      </c>
      <c r="E14" s="4" t="s">
        <v>86</v>
      </c>
      <c r="F14" s="4" t="s">
        <v>61</v>
      </c>
      <c r="H14" t="str">
        <f t="shared" si="0"/>
        <v>Pokémon , Japan</v>
      </c>
      <c r="I14" t="str">
        <f>LOWER(Table2[[#This Row],[First Name]])</f>
        <v>ash</v>
      </c>
      <c r="J14" t="str">
        <f>UPPER(Table2[[#This Row],[First Name]])</f>
        <v>ASH</v>
      </c>
      <c r="K14" t="str">
        <f>PROPER(Table2[[#This Row],[Full Name of Cartoon Character]])</f>
        <v>Ash Ketchum</v>
      </c>
      <c r="L14">
        <f>LEN(Table2[[#This Row],[Full Name of Cartoon Character]])</f>
        <v>11</v>
      </c>
      <c r="M14" t="str">
        <f>LEFT(Table2[[#This Row],[Cartoon Show Name]],4)</f>
        <v>Poké</v>
      </c>
      <c r="N14" t="str">
        <f>RIGHT(Table2[[#This Row],[Cartoon Show Name]],4)</f>
        <v>émon</v>
      </c>
      <c r="O14" t="str">
        <f>MID(Table2[[#This Row],[Cartoon Show Name]],5,4)</f>
        <v>mon</v>
      </c>
      <c r="P14" t="e">
        <f>FIND("t",Table2[[#This Row],[Cartoon Show Name]])</f>
        <v>#VALUE!</v>
      </c>
      <c r="Q14" t="e">
        <f>SEARCH("t",Table2[[#This Row],[Cartoon Show Name]])</f>
        <v>#VALUE!</v>
      </c>
      <c r="R14" t="str">
        <f t="shared" si="1"/>
        <v>aah</v>
      </c>
      <c r="S14" t="str">
        <f t="shared" si="2"/>
        <v>ooh</v>
      </c>
    </row>
    <row r="15" spans="1:20" ht="20.100000000000001" customHeight="1" x14ac:dyDescent="0.25">
      <c r="C15" s="4" t="s">
        <v>37</v>
      </c>
      <c r="D15" s="4" t="s">
        <v>62</v>
      </c>
      <c r="E15" s="4" t="s">
        <v>87</v>
      </c>
      <c r="F15" s="4" t="s">
        <v>63</v>
      </c>
      <c r="H15" t="str">
        <f t="shared" si="0"/>
        <v>Looney Tunes , USA</v>
      </c>
      <c r="I15" t="str">
        <f>LOWER(Table2[[#This Row],[First Name]])</f>
        <v>bugs</v>
      </c>
      <c r="J15" t="str">
        <f>UPPER(Table2[[#This Row],[First Name]])</f>
        <v>BUGS</v>
      </c>
      <c r="K15" t="str">
        <f>PROPER(Table2[[#This Row],[Full Name of Cartoon Character]])</f>
        <v>Bugs Bunny</v>
      </c>
      <c r="L15">
        <f>LEN(Table2[[#This Row],[Full Name of Cartoon Character]])</f>
        <v>10</v>
      </c>
      <c r="M15" t="str">
        <f>LEFT(Table2[[#This Row],[Cartoon Show Name]],4)</f>
        <v>Loon</v>
      </c>
      <c r="N15" t="str">
        <f>RIGHT(Table2[[#This Row],[Cartoon Show Name]],4)</f>
        <v>unes</v>
      </c>
      <c r="O15" t="str">
        <f>MID(Table2[[#This Row],[Cartoon Show Name]],5,4)</f>
        <v>ey T</v>
      </c>
      <c r="P15" t="e">
        <f>FIND("t",Table2[[#This Row],[Cartoon Show Name]])</f>
        <v>#VALUE!</v>
      </c>
      <c r="Q15">
        <f>SEARCH("t",Table2[[#This Row],[Cartoon Show Name]])</f>
        <v>8</v>
      </c>
      <c r="R15" t="str">
        <f t="shared" si="1"/>
        <v>bags</v>
      </c>
      <c r="S15" t="str">
        <f t="shared" si="2"/>
        <v>bogs</v>
      </c>
    </row>
    <row r="16" spans="1:20" ht="20.100000000000001" customHeight="1" x14ac:dyDescent="0.25">
      <c r="C16" s="4" t="s">
        <v>37</v>
      </c>
      <c r="D16" s="4" t="s">
        <v>64</v>
      </c>
      <c r="E16" s="4" t="s">
        <v>84</v>
      </c>
      <c r="F16" s="4" t="s">
        <v>65</v>
      </c>
      <c r="H16" t="str">
        <f t="shared" si="0"/>
        <v>Tom and Jerry , USA</v>
      </c>
      <c r="I16" t="str">
        <f>LOWER(Table2[[#This Row],[First Name]])</f>
        <v>thomas</v>
      </c>
      <c r="J16" t="str">
        <f>UPPER(Table2[[#This Row],[First Name]])</f>
        <v>THOMAS</v>
      </c>
      <c r="K16" t="str">
        <f>PROPER(Table2[[#This Row],[Full Name of Cartoon Character]])</f>
        <v>Thomas Jasper "Tom" Cat</v>
      </c>
      <c r="L16">
        <f>LEN(Table2[[#This Row],[Full Name of Cartoon Character]])</f>
        <v>23</v>
      </c>
      <c r="M16" t="str">
        <f>LEFT(Table2[[#This Row],[Cartoon Show Name]],4)</f>
        <v xml:space="preserve">Tom </v>
      </c>
      <c r="N16" t="str">
        <f>RIGHT(Table2[[#This Row],[Cartoon Show Name]],4)</f>
        <v>erry</v>
      </c>
      <c r="O16" t="str">
        <f>MID(Table2[[#This Row],[Cartoon Show Name]],5,4)</f>
        <v xml:space="preserve">and </v>
      </c>
      <c r="P16" t="e">
        <f>FIND("t",Table2[[#This Row],[Cartoon Show Name]])</f>
        <v>#VALUE!</v>
      </c>
      <c r="Q16">
        <f>SEARCH("t",Table2[[#This Row],[Cartoon Show Name]])</f>
        <v>1</v>
      </c>
      <c r="R16" t="str">
        <f t="shared" si="1"/>
        <v>taomas</v>
      </c>
      <c r="S16" t="str">
        <f t="shared" si="2"/>
        <v>toomos</v>
      </c>
    </row>
    <row r="17" spans="3:19" ht="20.100000000000001" customHeight="1" x14ac:dyDescent="0.25">
      <c r="C17" s="4" t="s">
        <v>37</v>
      </c>
      <c r="D17" s="4" t="s">
        <v>66</v>
      </c>
      <c r="E17" s="4" t="s">
        <v>88</v>
      </c>
      <c r="F17" s="4" t="s">
        <v>67</v>
      </c>
      <c r="H17" s="15" t="str">
        <f t="shared" si="0"/>
        <v>Scooby-Doo, Where Are You! , USA</v>
      </c>
      <c r="I17" t="str">
        <f>LOWER(Table2[[#This Row],[First Name]])</f>
        <v>scoobert</v>
      </c>
      <c r="J17" t="str">
        <f>UPPER(Table2[[#This Row],[First Name]])</f>
        <v>SCOOBERT</v>
      </c>
      <c r="K17" t="str">
        <f>PROPER(Table2[[#This Row],[Full Name of Cartoon Character]])</f>
        <v>Scoobert "Scooby" Doo</v>
      </c>
      <c r="L17">
        <f>LEN(Table2[[#This Row],[Full Name of Cartoon Character]])</f>
        <v>21</v>
      </c>
      <c r="M17" t="str">
        <f>LEFT(Table2[[#This Row],[Cartoon Show Name]],4)</f>
        <v>Scoo</v>
      </c>
      <c r="N17" t="str">
        <f>RIGHT(Table2[[#This Row],[Cartoon Show Name]],4)</f>
        <v>You!</v>
      </c>
      <c r="O17" t="str">
        <f>MID(Table2[[#This Row],[Cartoon Show Name]],5,4)</f>
        <v>by-D</v>
      </c>
      <c r="P17" t="e">
        <f>FIND("t",Table2[[#This Row],[Cartoon Show Name]])</f>
        <v>#VALUE!</v>
      </c>
      <c r="Q17" t="e">
        <f>SEARCH("t",Table2[[#This Row],[Cartoon Show Name]])</f>
        <v>#VALUE!</v>
      </c>
      <c r="R17" t="str">
        <f t="shared" si="1"/>
        <v>saoobert</v>
      </c>
      <c r="S17" t="str">
        <f t="shared" si="2"/>
        <v>sooobert</v>
      </c>
    </row>
    <row r="18" spans="3:19" ht="20.100000000000001" customHeight="1" x14ac:dyDescent="0.25">
      <c r="C18" s="4" t="s">
        <v>41</v>
      </c>
      <c r="D18" s="4" t="s">
        <v>68</v>
      </c>
      <c r="E18" s="4" t="s">
        <v>89</v>
      </c>
      <c r="F18" s="4" t="s">
        <v>69</v>
      </c>
      <c r="H18" t="str">
        <f t="shared" si="0"/>
        <v>Dragon Ball Z , Japan</v>
      </c>
      <c r="I18" t="str">
        <f>LOWER(Table2[[#This Row],[First Name]])</f>
        <v>son</v>
      </c>
      <c r="J18" t="str">
        <f>UPPER(Table2[[#This Row],[First Name]])</f>
        <v>SON</v>
      </c>
      <c r="K18" t="str">
        <f>PROPER(Table2[[#This Row],[Full Name of Cartoon Character]])</f>
        <v>Son Goku</v>
      </c>
      <c r="L18">
        <f>LEN(Table2[[#This Row],[Full Name of Cartoon Character]])</f>
        <v>8</v>
      </c>
      <c r="M18" t="str">
        <f>LEFT(Table2[[#This Row],[Cartoon Show Name]],4)</f>
        <v>Drag</v>
      </c>
      <c r="N18" t="str">
        <f>RIGHT(Table2[[#This Row],[Cartoon Show Name]],4)</f>
        <v>ll Z</v>
      </c>
      <c r="O18" t="str">
        <f>MID(Table2[[#This Row],[Cartoon Show Name]],5,4)</f>
        <v>on B</v>
      </c>
      <c r="P18" t="e">
        <f>FIND("t",Table2[[#This Row],[Cartoon Show Name]])</f>
        <v>#VALUE!</v>
      </c>
      <c r="Q18" t="e">
        <f>SEARCH("t",Table2[[#This Row],[Cartoon Show Name]])</f>
        <v>#VALUE!</v>
      </c>
      <c r="R18" t="str">
        <f t="shared" si="1"/>
        <v>san</v>
      </c>
      <c r="S18" t="str">
        <f t="shared" si="2"/>
        <v>son</v>
      </c>
    </row>
    <row r="19" spans="3:19" ht="20.100000000000001" customHeight="1" x14ac:dyDescent="0.25">
      <c r="C19" s="4" t="s">
        <v>45</v>
      </c>
      <c r="D19" s="4" t="s">
        <v>70</v>
      </c>
      <c r="E19" s="4" t="s">
        <v>71</v>
      </c>
      <c r="F19" s="4" t="s">
        <v>71</v>
      </c>
      <c r="H19" t="str">
        <f t="shared" si="0"/>
        <v>Little Singham , India</v>
      </c>
      <c r="I19" t="str">
        <f>LOWER(Table2[[#This Row],[First Name]])</f>
        <v>singham</v>
      </c>
      <c r="J19" t="str">
        <f>UPPER(Table2[[#This Row],[First Name]])</f>
        <v>SINGHAM</v>
      </c>
      <c r="K19" t="str">
        <f>PROPER(Table2[[#This Row],[Full Name of Cartoon Character]])</f>
        <v>Singham</v>
      </c>
      <c r="L19">
        <f>LEN(Table2[[#This Row],[Full Name of Cartoon Character]])</f>
        <v>7</v>
      </c>
      <c r="M19" t="str">
        <f>LEFT(Table2[[#This Row],[Cartoon Show Name]],4)</f>
        <v>Litt</v>
      </c>
      <c r="N19" t="str">
        <f>RIGHT(Table2[[#This Row],[Cartoon Show Name]],4)</f>
        <v>gham</v>
      </c>
      <c r="O19" t="str">
        <f>MID(Table2[[#This Row],[Cartoon Show Name]],5,4)</f>
        <v>le S</v>
      </c>
      <c r="P19">
        <f>FIND("t",Table2[[#This Row],[Cartoon Show Name]])</f>
        <v>3</v>
      </c>
      <c r="Q19">
        <f>SEARCH("t",Table2[[#This Row],[Cartoon Show Name]])</f>
        <v>3</v>
      </c>
      <c r="R19" t="str">
        <f t="shared" si="1"/>
        <v>sangham</v>
      </c>
      <c r="S19" t="str">
        <f t="shared" si="2"/>
        <v>songhom</v>
      </c>
    </row>
    <row r="20" spans="3:19" ht="20.100000000000001" customHeight="1" x14ac:dyDescent="0.25">
      <c r="C20" s="4" t="s">
        <v>50</v>
      </c>
      <c r="D20" s="4" t="s">
        <v>72</v>
      </c>
      <c r="E20" s="4" t="s">
        <v>73</v>
      </c>
      <c r="F20" s="4" t="s">
        <v>73</v>
      </c>
      <c r="H20" t="str">
        <f t="shared" si="0"/>
        <v>Shaun the Sheep , UK</v>
      </c>
      <c r="I20" t="str">
        <f>LOWER(Table2[[#This Row],[First Name]])</f>
        <v>shaun</v>
      </c>
      <c r="J20" t="str">
        <f>UPPER(Table2[[#This Row],[First Name]])</f>
        <v>SHAUN</v>
      </c>
      <c r="K20" t="str">
        <f>PROPER(Table2[[#This Row],[Full Name of Cartoon Character]])</f>
        <v>Shaun</v>
      </c>
      <c r="L20">
        <f>LEN(Table2[[#This Row],[Full Name of Cartoon Character]])</f>
        <v>5</v>
      </c>
      <c r="M20" t="str">
        <f>LEFT(Table2[[#This Row],[Cartoon Show Name]],4)</f>
        <v>Shau</v>
      </c>
      <c r="N20" t="str">
        <f>RIGHT(Table2[[#This Row],[Cartoon Show Name]],4)</f>
        <v>heep</v>
      </c>
      <c r="O20" t="str">
        <f>MID(Table2[[#This Row],[Cartoon Show Name]],5,4)</f>
        <v>n th</v>
      </c>
      <c r="P20">
        <f>FIND("t",Table2[[#This Row],[Cartoon Show Name]])</f>
        <v>7</v>
      </c>
      <c r="Q20">
        <f>SEARCH("t",Table2[[#This Row],[Cartoon Show Name]])</f>
        <v>7</v>
      </c>
      <c r="R20" t="str">
        <f t="shared" si="1"/>
        <v>saaun</v>
      </c>
      <c r="S20" t="str">
        <f t="shared" si="2"/>
        <v>sooun</v>
      </c>
    </row>
    <row r="21" spans="3:19" ht="20.100000000000001" customHeight="1" x14ac:dyDescent="0.25">
      <c r="C21" s="4" t="s">
        <v>37</v>
      </c>
      <c r="D21" s="4" t="s">
        <v>74</v>
      </c>
      <c r="E21" s="4" t="s">
        <v>90</v>
      </c>
      <c r="F21" s="4" t="s">
        <v>75</v>
      </c>
      <c r="H21" t="str">
        <f t="shared" si="0"/>
        <v>Adventure Time , USA</v>
      </c>
      <c r="I21" t="str">
        <f>LOWER(Table2[[#This Row],[First Name]])</f>
        <v>finn</v>
      </c>
      <c r="J21" t="str">
        <f>UPPER(Table2[[#This Row],[First Name]])</f>
        <v>FINN</v>
      </c>
      <c r="K21" t="str">
        <f>PROPER(Table2[[#This Row],[Full Name of Cartoon Character]])</f>
        <v>Finn Mertens</v>
      </c>
      <c r="L21">
        <f>LEN(Table2[[#This Row],[Full Name of Cartoon Character]])</f>
        <v>12</v>
      </c>
      <c r="M21" t="str">
        <f>LEFT(Table2[[#This Row],[Cartoon Show Name]],4)</f>
        <v>Adve</v>
      </c>
      <c r="N21" t="str">
        <f>RIGHT(Table2[[#This Row],[Cartoon Show Name]],4)</f>
        <v>Time</v>
      </c>
      <c r="O21" t="str">
        <f>MID(Table2[[#This Row],[Cartoon Show Name]],5,4)</f>
        <v>ntur</v>
      </c>
      <c r="P21">
        <f>FIND("t",Table2[[#This Row],[Cartoon Show Name]])</f>
        <v>6</v>
      </c>
      <c r="Q21">
        <f>SEARCH("t",Table2[[#This Row],[Cartoon Show Name]])</f>
        <v>6</v>
      </c>
      <c r="R21" t="str">
        <f t="shared" si="1"/>
        <v>fann</v>
      </c>
      <c r="S21" t="str">
        <f t="shared" si="2"/>
        <v>fonn</v>
      </c>
    </row>
    <row r="22" spans="3:19" ht="20.100000000000001" customHeight="1" x14ac:dyDescent="0.25">
      <c r="C22" s="4" t="s">
        <v>37</v>
      </c>
      <c r="D22" s="4" t="s">
        <v>76</v>
      </c>
      <c r="E22" s="4" t="s">
        <v>91</v>
      </c>
      <c r="F22" s="4" t="s">
        <v>77</v>
      </c>
      <c r="H22" t="str">
        <f t="shared" si="0"/>
        <v>The Powerpuff Girls , USA</v>
      </c>
      <c r="I22" t="str">
        <f>LOWER(Table2[[#This Row],[First Name]])</f>
        <v>blossom</v>
      </c>
      <c r="J22" t="str">
        <f>UPPER(Table2[[#This Row],[First Name]])</f>
        <v>BLOSSOM</v>
      </c>
      <c r="K22" t="str">
        <f>PROPER(Table2[[#This Row],[Full Name of Cartoon Character]])</f>
        <v>Blossom Utonium</v>
      </c>
      <c r="L22">
        <f>LEN(Table2[[#This Row],[Full Name of Cartoon Character]])</f>
        <v>15</v>
      </c>
      <c r="M22" t="str">
        <f>LEFT(Table2[[#This Row],[Cartoon Show Name]],4)</f>
        <v xml:space="preserve">The </v>
      </c>
      <c r="N22" t="str">
        <f>RIGHT(Table2[[#This Row],[Cartoon Show Name]],4)</f>
        <v>irls</v>
      </c>
      <c r="O22" t="str">
        <f>MID(Table2[[#This Row],[Cartoon Show Name]],5,4)</f>
        <v>Powe</v>
      </c>
      <c r="P22" t="e">
        <f>FIND("t",Table2[[#This Row],[Cartoon Show Name]])</f>
        <v>#VALUE!</v>
      </c>
      <c r="Q22">
        <f>SEARCH("t",Table2[[#This Row],[Cartoon Show Name]])</f>
        <v>1</v>
      </c>
      <c r="R22" t="str">
        <f t="shared" si="1"/>
        <v>baossom</v>
      </c>
      <c r="S22" t="str">
        <f t="shared" si="2"/>
        <v>boossom</v>
      </c>
    </row>
    <row r="23" spans="3:19" ht="20.100000000000001" customHeight="1" x14ac:dyDescent="0.25">
      <c r="C23" s="4" t="s">
        <v>41</v>
      </c>
      <c r="D23" s="4" t="s">
        <v>78</v>
      </c>
      <c r="E23" s="4" t="s">
        <v>92</v>
      </c>
      <c r="F23" s="4" t="s">
        <v>79</v>
      </c>
      <c r="H23" t="str">
        <f t="shared" si="0"/>
        <v>Shin Chan , Japan</v>
      </c>
      <c r="I23" t="str">
        <f>LOWER(Table2[[#This Row],[First Name]])</f>
        <v>shinnosuke</v>
      </c>
      <c r="J23" t="str">
        <f>UPPER(Table2[[#This Row],[First Name]])</f>
        <v>SHINNOSUKE</v>
      </c>
      <c r="K23" t="str">
        <f>PROPER(Table2[[#This Row],[Full Name of Cartoon Character]])</f>
        <v>Shinnosuke Nohara</v>
      </c>
      <c r="L23">
        <f>LEN(Table2[[#This Row],[Full Name of Cartoon Character]])</f>
        <v>17</v>
      </c>
      <c r="M23" t="str">
        <f>LEFT(Table2[[#This Row],[Cartoon Show Name]],4)</f>
        <v>Shin</v>
      </c>
      <c r="N23" t="str">
        <f>RIGHT(Table2[[#This Row],[Cartoon Show Name]],4)</f>
        <v>Chan</v>
      </c>
      <c r="O23" t="str">
        <f>MID(Table2[[#This Row],[Cartoon Show Name]],5,4)</f>
        <v xml:space="preserve"> Cha</v>
      </c>
      <c r="P23" t="e">
        <f>FIND("t",Table2[[#This Row],[Cartoon Show Name]])</f>
        <v>#VALUE!</v>
      </c>
      <c r="Q23" t="e">
        <f>SEARCH("t",Table2[[#This Row],[Cartoon Show Name]])</f>
        <v>#VALUE!</v>
      </c>
      <c r="R23" t="str">
        <f t="shared" si="1"/>
        <v>sainnosuke</v>
      </c>
      <c r="S23" t="str">
        <f t="shared" si="2"/>
        <v>soinnosuke</v>
      </c>
    </row>
  </sheetData>
  <mergeCells count="1">
    <mergeCell ref="A1:T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excel1</vt:lpstr>
      <vt:lpstr>excel2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kiranraj.gangele10@gmail.com</cp:lastModifiedBy>
  <dcterms:created xsi:type="dcterms:W3CDTF">2015-06-05T18:17:20Z</dcterms:created>
  <dcterms:modified xsi:type="dcterms:W3CDTF">2026-06-11T11:19:25Z</dcterms:modified>
</cp:coreProperties>
</file>